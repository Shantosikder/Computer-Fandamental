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filterPrivacy="1" codeName="ThisWorkbook"/>
  <xr:revisionPtr revIDLastSave="0" documentId="13_ncr:1_{44CE3CCC-4E09-47BA-8A60-DFB3B3E5520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115" i="1"/>
  <c r="F116" i="1"/>
  <c r="F117" i="1"/>
  <c r="F118" i="1"/>
  <c r="F119" i="1"/>
  <c r="F114" i="1"/>
  <c r="F101" i="1"/>
  <c r="F102" i="1"/>
  <c r="F103" i="1"/>
  <c r="F104" i="1"/>
  <c r="F105" i="1"/>
  <c r="F100" i="1"/>
  <c r="F25" i="1"/>
  <c r="F74" i="1"/>
  <c r="F75" i="1"/>
  <c r="F76" i="1"/>
  <c r="F77" i="1"/>
  <c r="F73" i="1"/>
  <c r="F90" i="1"/>
  <c r="E66" i="1"/>
  <c r="E67" i="1"/>
  <c r="E68" i="1"/>
  <c r="E69" i="1"/>
  <c r="E65" i="1"/>
  <c r="D66" i="1"/>
  <c r="D67" i="1"/>
  <c r="D68" i="1"/>
  <c r="D69" i="1"/>
  <c r="D65" i="1"/>
  <c r="F81" i="1"/>
  <c r="F26" i="1"/>
  <c r="F27" i="1"/>
  <c r="F28" i="1"/>
  <c r="F29" i="1"/>
  <c r="E26" i="1"/>
  <c r="E27" i="1"/>
  <c r="G27" i="1" s="1"/>
  <c r="E28" i="1"/>
  <c r="E29" i="1"/>
  <c r="E25" i="1"/>
  <c r="D26" i="1"/>
  <c r="G26" i="1" s="1"/>
  <c r="D27" i="1"/>
  <c r="D28" i="1"/>
  <c r="D29" i="1"/>
  <c r="G29" i="1" s="1"/>
  <c r="D25" i="1"/>
  <c r="F3" i="1"/>
  <c r="F4" i="1"/>
  <c r="F5" i="1"/>
  <c r="F6" i="1"/>
  <c r="F7" i="1"/>
  <c r="E4" i="1"/>
  <c r="E5" i="1"/>
  <c r="E6" i="1"/>
  <c r="E7" i="1"/>
  <c r="E3" i="1"/>
  <c r="D4" i="1"/>
  <c r="G4" i="1" s="1"/>
  <c r="D5" i="1"/>
  <c r="G5" i="1" s="1"/>
  <c r="D6" i="1"/>
  <c r="D7" i="1"/>
  <c r="D3" i="1"/>
  <c r="F94" i="1"/>
  <c r="F93" i="1"/>
  <c r="F92" i="1"/>
  <c r="F91" i="1"/>
  <c r="G25" i="1" l="1"/>
  <c r="G28" i="1"/>
  <c r="G6" i="1"/>
  <c r="G7" i="1"/>
  <c r="F82" i="1"/>
  <c r="F83" i="1"/>
  <c r="F84" i="1"/>
  <c r="F85" i="1"/>
</calcChain>
</file>

<file path=xl/sharedStrings.xml><?xml version="1.0" encoding="utf-8"?>
<sst xmlns="http://schemas.openxmlformats.org/spreadsheetml/2006/main" count="99" uniqueCount="55">
  <si>
    <t>Employee ID</t>
  </si>
  <si>
    <t>Basic Salary</t>
  </si>
  <si>
    <t>House Rent</t>
  </si>
  <si>
    <t>Provident Fund</t>
  </si>
  <si>
    <t xml:space="preserve">Tax </t>
  </si>
  <si>
    <t>Gross Salary</t>
  </si>
  <si>
    <t>Student ID</t>
  </si>
  <si>
    <t>Bangla</t>
  </si>
  <si>
    <t>English</t>
  </si>
  <si>
    <t>Math</t>
  </si>
  <si>
    <t>Results</t>
  </si>
  <si>
    <t>Student</t>
  </si>
  <si>
    <t xml:space="preserve">Bangla </t>
  </si>
  <si>
    <t>Result</t>
  </si>
  <si>
    <t>Products</t>
  </si>
  <si>
    <t>Unit Price</t>
  </si>
  <si>
    <t>Ouantity</t>
  </si>
  <si>
    <t>Vat</t>
  </si>
  <si>
    <t>Rebate</t>
  </si>
  <si>
    <t>Total</t>
  </si>
  <si>
    <t>Hard disk</t>
  </si>
  <si>
    <t>RAM 512</t>
  </si>
  <si>
    <t>Ram1 GB</t>
  </si>
  <si>
    <t>Processor</t>
  </si>
  <si>
    <t>Motherboard</t>
  </si>
  <si>
    <t>Grand Total:</t>
  </si>
  <si>
    <t>Sell for the month august 2016</t>
  </si>
  <si>
    <t>Tex</t>
  </si>
  <si>
    <t>IF &gt;1,50,000</t>
  </si>
  <si>
    <t>IF &gt;75,000</t>
  </si>
  <si>
    <t>IF &gt;750000</t>
  </si>
  <si>
    <t>IF &gt;50000</t>
  </si>
  <si>
    <t>Studient IDBangla</t>
  </si>
  <si>
    <t>MCQ (50)</t>
  </si>
  <si>
    <t>Descriptive (50)</t>
  </si>
  <si>
    <t>Evidence(50)</t>
  </si>
  <si>
    <t>Nur</t>
  </si>
  <si>
    <t>Saiful</t>
  </si>
  <si>
    <t>Muzahid</t>
  </si>
  <si>
    <t>Habib</t>
  </si>
  <si>
    <t>Uzzal</t>
  </si>
  <si>
    <t>Roman</t>
  </si>
  <si>
    <t xml:space="preserve">to pass you must achieve score 70 from mcq and descriptive and you mast gat 30 from evidence </t>
  </si>
  <si>
    <t>Studient ID</t>
  </si>
  <si>
    <t>Sl</t>
  </si>
  <si>
    <t>Name</t>
  </si>
  <si>
    <t>Number</t>
  </si>
  <si>
    <t>Number of Archive</t>
  </si>
  <si>
    <t>Grade</t>
  </si>
  <si>
    <t>Asma</t>
  </si>
  <si>
    <t>Shanta</t>
  </si>
  <si>
    <t>Rasel</t>
  </si>
  <si>
    <t>Mitu</t>
  </si>
  <si>
    <t>Sumon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</si>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</sst>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color rgb="FFFF0000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 applyAlignment="1">
      <alignment horizontal="center" vertic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1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9" fontId="0" fillId="0" borderId="1" xfId="0" applyNumberFormat="1" applyBorder="1"/>
    <xf numFmtId="0" fontId="0" fillId="0" borderId="1" xfId="0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11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8" borderId="1" xfId="0" applyFont="1" applyFill="1" applyBorder="1" applyAlignment="1">
      <alignment horizontal="center" vertical="center"/>
    </xf>
    <xf numFmtId="0" fontId="2" fillId="13" borderId="1" xfId="0" applyFont="1" applyFill="1" applyBorder="1"/>
    <xf numFmtId="0" fontId="5" fillId="6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0" fillId="12" borderId="1" xfId="0" applyFill="1" applyBorder="1"/>
    <xf numFmtId="4" fontId="0" fillId="12" borderId="1" xfId="0" applyNumberFormat="1" applyFill="1" applyBorder="1"/>
    <xf numFmtId="0" fontId="0" fillId="14" borderId="1" xfId="0" applyFill="1" applyBorder="1"/>
    <xf numFmtId="0" fontId="2" fillId="0" borderId="0" xfId="0" applyFont="1"/>
    <xf numFmtId="9" fontId="2" fillId="0" borderId="1" xfId="0" applyNumberFormat="1" applyFont="1" applyBorder="1"/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0" fillId="14" borderId="2" xfId="0" applyFill="1" applyBorder="1" applyAlignment="1">
      <alignment horizontal="right"/>
    </xf>
    <xf numFmtId="0" fontId="0" fillId="14" borderId="3" xfId="0" applyFill="1" applyBorder="1" applyAlignment="1">
      <alignment horizontal="right"/>
    </xf>
    <xf numFmtId="0" fontId="0" fillId="14" borderId="4" xfId="0" applyFill="1" applyBorder="1" applyAlignment="1">
      <alignment horizontal="right"/>
    </xf>
    <xf numFmtId="0" fontId="3" fillId="10" borderId="5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8" fillId="15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16" borderId="1" xfId="0" applyFill="1" applyBorder="1"/>
    <xf numFmtId="0" fontId="0" fillId="16" borderId="1" xfId="0" applyFill="1" applyBorder="1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0" borderId="2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131"/>
  <sheetViews>
    <sheetView tabSelected="1" topLeftCell="A118" workbookViewId="0">
      <selection activeCell="F127" sqref="F127"/>
    </sheetView>
  </sheetViews>
  <sheetFormatPr defaultRowHeight="15" x14ac:dyDescent="0.25"/>
  <cols>
    <col min="1" max="1" width="18.28515625" customWidth="1"/>
    <col min="2" max="2" width="18.7109375" customWidth="1"/>
    <col min="3" max="3" width="15.42578125" customWidth="1"/>
    <col min="4" max="4" width="17.42578125" customWidth="1"/>
    <col min="5" max="5" width="16.5703125" customWidth="1"/>
    <col min="6" max="6" width="16.140625" customWidth="1"/>
    <col min="7" max="7" width="13.5703125" customWidth="1"/>
    <col min="8" max="8" width="13.140625" customWidth="1"/>
  </cols>
  <sheetData>
    <row r="2" spans="2:7" ht="52.5" customHeight="1" x14ac:dyDescent="0.25">
      <c r="B2" s="21" t="s">
        <v>0</v>
      </c>
      <c r="C2" s="21" t="s">
        <v>1</v>
      </c>
      <c r="D2" s="21" t="s">
        <v>2</v>
      </c>
      <c r="E2" s="21" t="s">
        <v>3</v>
      </c>
      <c r="F2" s="21" t="s">
        <v>4</v>
      </c>
      <c r="G2" s="21" t="s">
        <v>5</v>
      </c>
    </row>
    <row r="3" spans="2:7" x14ac:dyDescent="0.25">
      <c r="B3" s="20">
        <v>100</v>
      </c>
      <c r="C3" s="15">
        <v>9500</v>
      </c>
      <c r="D3" s="15">
        <f>C3*$C$9</f>
        <v>3800</v>
      </c>
      <c r="E3" s="15">
        <f>C3*$C$10</f>
        <v>475</v>
      </c>
      <c r="F3" s="15">
        <f>IF(C3*12&gt;75000,C3*$C$11,)</f>
        <v>950</v>
      </c>
      <c r="G3" s="15">
        <f>SUM(C3+D3)-(E3+F3)</f>
        <v>11875</v>
      </c>
    </row>
    <row r="4" spans="2:7" x14ac:dyDescent="0.25">
      <c r="B4" s="20">
        <v>101</v>
      </c>
      <c r="C4" s="15">
        <v>12000</v>
      </c>
      <c r="D4" s="15">
        <f t="shared" ref="D4:D7" si="0">C4*$C$9</f>
        <v>4800</v>
      </c>
      <c r="E4" s="15">
        <f t="shared" ref="E4:E7" si="1">C4*$C$10</f>
        <v>600</v>
      </c>
      <c r="F4" s="15">
        <f t="shared" ref="F4:F7" si="2">IF(C4*12&gt;75000,C4*$C$11,)</f>
        <v>1200</v>
      </c>
      <c r="G4" s="15">
        <f t="shared" ref="G4:G7" si="3">SUM(C4+D4)-(E4+F4)</f>
        <v>15000</v>
      </c>
    </row>
    <row r="5" spans="2:7" x14ac:dyDescent="0.25">
      <c r="B5" s="20">
        <v>102</v>
      </c>
      <c r="C5" s="15">
        <v>7600</v>
      </c>
      <c r="D5" s="15">
        <f t="shared" si="0"/>
        <v>3040</v>
      </c>
      <c r="E5" s="15">
        <f t="shared" si="1"/>
        <v>380</v>
      </c>
      <c r="F5" s="15">
        <f t="shared" si="2"/>
        <v>760</v>
      </c>
      <c r="G5" s="15">
        <f t="shared" si="3"/>
        <v>9500</v>
      </c>
    </row>
    <row r="6" spans="2:7" x14ac:dyDescent="0.25">
      <c r="B6" s="20">
        <v>103</v>
      </c>
      <c r="C6" s="15">
        <v>9200</v>
      </c>
      <c r="D6" s="15">
        <f t="shared" si="0"/>
        <v>3680</v>
      </c>
      <c r="E6" s="15">
        <f t="shared" si="1"/>
        <v>460</v>
      </c>
      <c r="F6" s="15">
        <f t="shared" si="2"/>
        <v>920</v>
      </c>
      <c r="G6" s="15">
        <f t="shared" si="3"/>
        <v>11500</v>
      </c>
    </row>
    <row r="7" spans="2:7" x14ac:dyDescent="0.25">
      <c r="B7" s="20">
        <v>104</v>
      </c>
      <c r="C7" s="15">
        <v>6000</v>
      </c>
      <c r="D7" s="15">
        <f t="shared" si="0"/>
        <v>2400</v>
      </c>
      <c r="E7" s="15">
        <f t="shared" si="1"/>
        <v>300</v>
      </c>
      <c r="F7" s="15">
        <f t="shared" si="2"/>
        <v>0</v>
      </c>
      <c r="G7" s="15">
        <f t="shared" si="3"/>
        <v>8100</v>
      </c>
    </row>
    <row r="9" spans="2:7" x14ac:dyDescent="0.25">
      <c r="B9" s="15" t="s">
        <v>2</v>
      </c>
      <c r="C9" s="27">
        <v>0.4</v>
      </c>
    </row>
    <row r="10" spans="2:7" x14ac:dyDescent="0.25">
      <c r="B10" s="15" t="s">
        <v>3</v>
      </c>
      <c r="C10" s="27">
        <v>0.05</v>
      </c>
    </row>
    <row r="11" spans="2:7" x14ac:dyDescent="0.25">
      <c r="B11" s="15" t="s">
        <v>4</v>
      </c>
      <c r="C11" s="27">
        <v>0.1</v>
      </c>
    </row>
    <row r="14" spans="2:7" ht="21.95" customHeight="1" x14ac:dyDescent="0.25"/>
    <row r="24" spans="2:7" x14ac:dyDescent="0.25">
      <c r="B24" s="15" t="s">
        <v>0</v>
      </c>
      <c r="C24" s="15" t="s">
        <v>1</v>
      </c>
      <c r="D24" s="15" t="s">
        <v>2</v>
      </c>
      <c r="E24" s="15" t="s">
        <v>3</v>
      </c>
      <c r="F24" s="15" t="s">
        <v>4</v>
      </c>
      <c r="G24" s="15" t="s">
        <v>5</v>
      </c>
    </row>
    <row r="25" spans="2:7" x14ac:dyDescent="0.25">
      <c r="B25" s="20">
        <v>100</v>
      </c>
      <c r="C25" s="15">
        <v>9500</v>
      </c>
      <c r="D25" s="15">
        <f>C25*$C$31</f>
        <v>3800</v>
      </c>
      <c r="E25" s="15">
        <f>C25*$C$32</f>
        <v>475</v>
      </c>
      <c r="F25" s="15">
        <f>IF(C25*12&gt;75000,C25*$C$33,)</f>
        <v>950</v>
      </c>
      <c r="G25" s="15">
        <f>SUM(C25+D25)-(E25+F25)</f>
        <v>11875</v>
      </c>
    </row>
    <row r="26" spans="2:7" x14ac:dyDescent="0.25">
      <c r="B26" s="20">
        <v>101</v>
      </c>
      <c r="C26" s="15">
        <v>12000</v>
      </c>
      <c r="D26" s="15">
        <f t="shared" ref="D26:D29" si="4">C26*$C$31</f>
        <v>4800</v>
      </c>
      <c r="E26" s="15">
        <f t="shared" ref="E26:E29" si="5">C26*$C$32</f>
        <v>600</v>
      </c>
      <c r="F26" s="15">
        <f t="shared" ref="F26:F29" si="6">IF(C26*12&gt;75000,C26*$C$33,)</f>
        <v>1200</v>
      </c>
      <c r="G26" s="15">
        <f t="shared" ref="G26:G29" si="7">SUM(C26+D26)-(E26+F26)</f>
        <v>15000</v>
      </c>
    </row>
    <row r="27" spans="2:7" x14ac:dyDescent="0.25">
      <c r="B27" s="20">
        <v>102</v>
      </c>
      <c r="C27" s="15">
        <v>7600</v>
      </c>
      <c r="D27" s="15">
        <f t="shared" si="4"/>
        <v>3040</v>
      </c>
      <c r="E27" s="15">
        <f t="shared" si="5"/>
        <v>380</v>
      </c>
      <c r="F27" s="15">
        <f t="shared" si="6"/>
        <v>760</v>
      </c>
      <c r="G27" s="15">
        <f t="shared" si="7"/>
        <v>9500</v>
      </c>
    </row>
    <row r="28" spans="2:7" x14ac:dyDescent="0.25">
      <c r="B28" s="20">
        <v>103</v>
      </c>
      <c r="C28" s="15">
        <v>9200</v>
      </c>
      <c r="D28" s="15">
        <f t="shared" si="4"/>
        <v>3680</v>
      </c>
      <c r="E28" s="15">
        <f t="shared" si="5"/>
        <v>460</v>
      </c>
      <c r="F28" s="15">
        <f t="shared" si="6"/>
        <v>920</v>
      </c>
      <c r="G28" s="15">
        <f t="shared" si="7"/>
        <v>11500</v>
      </c>
    </row>
    <row r="29" spans="2:7" x14ac:dyDescent="0.25">
      <c r="B29" s="20">
        <v>104</v>
      </c>
      <c r="C29" s="15">
        <v>6000</v>
      </c>
      <c r="D29" s="15">
        <f t="shared" si="4"/>
        <v>2400</v>
      </c>
      <c r="E29" s="15">
        <f t="shared" si="5"/>
        <v>300</v>
      </c>
      <c r="F29" s="15">
        <f t="shared" si="6"/>
        <v>0</v>
      </c>
      <c r="G29" s="15">
        <f t="shared" si="7"/>
        <v>8100</v>
      </c>
    </row>
    <row r="30" spans="2:7" x14ac:dyDescent="0.25">
      <c r="B30" s="26"/>
      <c r="C30" s="26"/>
      <c r="D30" s="26"/>
      <c r="E30" s="26"/>
      <c r="F30" s="26"/>
      <c r="G30" s="26"/>
    </row>
    <row r="31" spans="2:7" x14ac:dyDescent="0.25">
      <c r="B31" s="15" t="s">
        <v>2</v>
      </c>
      <c r="C31" s="27">
        <v>0.4</v>
      </c>
      <c r="D31" s="26"/>
      <c r="E31" s="26"/>
      <c r="F31" s="26"/>
      <c r="G31" s="26"/>
    </row>
    <row r="32" spans="2:7" x14ac:dyDescent="0.25">
      <c r="B32" s="15" t="s">
        <v>3</v>
      </c>
      <c r="C32" s="27">
        <v>0.05</v>
      </c>
      <c r="D32" s="26"/>
      <c r="E32" s="26"/>
      <c r="F32" s="26"/>
      <c r="G32" s="26"/>
    </row>
    <row r="33" spans="2:7" x14ac:dyDescent="0.25">
      <c r="B33" s="15" t="s">
        <v>4</v>
      </c>
      <c r="C33" s="27">
        <v>0.1</v>
      </c>
      <c r="D33" s="26"/>
      <c r="E33" s="26"/>
      <c r="F33" s="26"/>
      <c r="G33" s="26"/>
    </row>
    <row r="45" spans="2:7" ht="27.95" customHeight="1" x14ac:dyDescent="0.25">
      <c r="B45" s="33" t="s">
        <v>26</v>
      </c>
      <c r="C45" s="34"/>
      <c r="D45" s="34"/>
      <c r="E45" s="34"/>
      <c r="F45" s="34"/>
      <c r="G45" s="34"/>
    </row>
    <row r="46" spans="2:7" ht="24" customHeight="1" x14ac:dyDescent="0.25">
      <c r="B46" s="22" t="s">
        <v>14</v>
      </c>
      <c r="C46" s="22" t="s">
        <v>15</v>
      </c>
      <c r="D46" s="22" t="s">
        <v>16</v>
      </c>
      <c r="E46" s="22" t="s">
        <v>17</v>
      </c>
      <c r="F46" s="22" t="s">
        <v>18</v>
      </c>
      <c r="G46" s="22" t="s">
        <v>19</v>
      </c>
    </row>
    <row r="47" spans="2:7" x14ac:dyDescent="0.25">
      <c r="B47" s="23" t="s">
        <v>20</v>
      </c>
      <c r="C47" s="24">
        <v>6000</v>
      </c>
      <c r="D47" s="23">
        <v>13</v>
      </c>
      <c r="E47" s="23"/>
      <c r="F47" s="23"/>
      <c r="G47" s="23"/>
    </row>
    <row r="48" spans="2:7" x14ac:dyDescent="0.25">
      <c r="B48" s="23" t="s">
        <v>20</v>
      </c>
      <c r="C48" s="24">
        <v>7000</v>
      </c>
      <c r="D48" s="23">
        <v>12</v>
      </c>
      <c r="E48" s="23"/>
      <c r="F48" s="23"/>
      <c r="G48" s="23"/>
    </row>
    <row r="49" spans="2:7" x14ac:dyDescent="0.25">
      <c r="B49" s="23" t="s">
        <v>21</v>
      </c>
      <c r="C49" s="24">
        <v>3600</v>
      </c>
      <c r="D49" s="23">
        <v>12</v>
      </c>
      <c r="E49" s="23"/>
      <c r="F49" s="23"/>
      <c r="G49" s="23"/>
    </row>
    <row r="50" spans="2:7" x14ac:dyDescent="0.25">
      <c r="B50" s="23" t="s">
        <v>22</v>
      </c>
      <c r="C50" s="24">
        <v>4200</v>
      </c>
      <c r="D50" s="23">
        <v>13</v>
      </c>
      <c r="E50" s="23"/>
      <c r="F50" s="23"/>
      <c r="G50" s="23"/>
    </row>
    <row r="51" spans="2:7" x14ac:dyDescent="0.25">
      <c r="B51" s="23" t="s">
        <v>23</v>
      </c>
      <c r="C51" s="24">
        <v>8200</v>
      </c>
      <c r="D51" s="23">
        <v>24</v>
      </c>
      <c r="E51" s="23"/>
      <c r="F51" s="23"/>
      <c r="G51" s="23"/>
    </row>
    <row r="52" spans="2:7" x14ac:dyDescent="0.25">
      <c r="B52" s="23" t="s">
        <v>24</v>
      </c>
      <c r="C52" s="24">
        <v>5600</v>
      </c>
      <c r="D52" s="23">
        <v>24</v>
      </c>
      <c r="E52" s="23"/>
      <c r="F52" s="23"/>
      <c r="G52" s="23"/>
    </row>
    <row r="53" spans="2:7" x14ac:dyDescent="0.25">
      <c r="B53" s="30" t="s">
        <v>25</v>
      </c>
      <c r="C53" s="31"/>
      <c r="D53" s="31"/>
      <c r="E53" s="31"/>
      <c r="F53" s="32"/>
      <c r="G53" s="25"/>
    </row>
    <row r="55" spans="2:7" x14ac:dyDescent="0.25">
      <c r="B55" s="15"/>
      <c r="C55" s="9" t="s">
        <v>17</v>
      </c>
      <c r="D55" s="27">
        <v>0.05</v>
      </c>
    </row>
    <row r="56" spans="2:7" x14ac:dyDescent="0.25">
      <c r="B56" s="28" t="s">
        <v>31</v>
      </c>
      <c r="C56" s="29" t="s">
        <v>18</v>
      </c>
      <c r="D56" s="27">
        <v>0.03</v>
      </c>
    </row>
    <row r="57" spans="2:7" x14ac:dyDescent="0.25">
      <c r="B57" s="28" t="s">
        <v>30</v>
      </c>
      <c r="C57" s="29" t="s">
        <v>18</v>
      </c>
      <c r="D57" s="27">
        <v>0.05</v>
      </c>
    </row>
    <row r="58" spans="2:7" ht="44.45" customHeight="1" x14ac:dyDescent="0.25"/>
    <row r="59" spans="2:7" x14ac:dyDescent="0.25">
      <c r="B59" s="14" t="s">
        <v>2</v>
      </c>
      <c r="C59" s="14"/>
      <c r="D59" s="11">
        <v>0.4</v>
      </c>
    </row>
    <row r="60" spans="2:7" x14ac:dyDescent="0.25">
      <c r="B60" s="14" t="s">
        <v>3</v>
      </c>
      <c r="C60" s="14"/>
      <c r="D60" s="11">
        <v>0.05</v>
      </c>
    </row>
    <row r="61" spans="2:7" x14ac:dyDescent="0.25">
      <c r="B61" s="9" t="s">
        <v>29</v>
      </c>
      <c r="C61" s="9" t="s">
        <v>27</v>
      </c>
      <c r="D61" s="11">
        <v>0.05</v>
      </c>
    </row>
    <row r="62" spans="2:7" x14ac:dyDescent="0.25">
      <c r="B62" s="9" t="s">
        <v>28</v>
      </c>
      <c r="C62" s="9" t="s">
        <v>27</v>
      </c>
      <c r="D62" s="11">
        <v>0.1</v>
      </c>
    </row>
    <row r="64" spans="2:7" ht="31.5" customHeight="1" x14ac:dyDescent="0.25">
      <c r="B64" s="10" t="s">
        <v>0</v>
      </c>
      <c r="C64" s="10" t="s">
        <v>1</v>
      </c>
      <c r="D64" s="10" t="s">
        <v>2</v>
      </c>
      <c r="E64" s="10" t="s">
        <v>3</v>
      </c>
      <c r="F64" s="10" t="s">
        <v>4</v>
      </c>
      <c r="G64" s="10" t="s">
        <v>5</v>
      </c>
    </row>
    <row r="65" spans="2:7" x14ac:dyDescent="0.25">
      <c r="B65" s="13">
        <v>100</v>
      </c>
      <c r="C65" s="12">
        <v>5000</v>
      </c>
      <c r="D65" s="1">
        <f>C65*$D$59</f>
        <v>2000</v>
      </c>
      <c r="E65" s="1">
        <f>C65*$D$60</f>
        <v>250</v>
      </c>
      <c r="F65" s="1"/>
      <c r="G65" s="1"/>
    </row>
    <row r="66" spans="2:7" x14ac:dyDescent="0.25">
      <c r="B66" s="13">
        <v>101</v>
      </c>
      <c r="C66" s="12">
        <v>10000</v>
      </c>
      <c r="D66" s="1">
        <f t="shared" ref="D66:D69" si="8">C66*$D$59</f>
        <v>4000</v>
      </c>
      <c r="E66" s="1">
        <f t="shared" ref="E66:E69" si="9">C66*$D$60</f>
        <v>500</v>
      </c>
      <c r="F66" s="1"/>
      <c r="G66" s="1"/>
    </row>
    <row r="67" spans="2:7" x14ac:dyDescent="0.25">
      <c r="B67" s="13">
        <v>102</v>
      </c>
      <c r="C67" s="12">
        <v>4000</v>
      </c>
      <c r="D67" s="1">
        <f t="shared" si="8"/>
        <v>1600</v>
      </c>
      <c r="E67" s="1">
        <f t="shared" si="9"/>
        <v>200</v>
      </c>
      <c r="F67" s="1"/>
      <c r="G67" s="1"/>
    </row>
    <row r="68" spans="2:7" x14ac:dyDescent="0.25">
      <c r="B68" s="13">
        <v>103</v>
      </c>
      <c r="C68" s="12">
        <v>9000</v>
      </c>
      <c r="D68" s="1">
        <f t="shared" si="8"/>
        <v>3600</v>
      </c>
      <c r="E68" s="1">
        <f t="shared" si="9"/>
        <v>450</v>
      </c>
      <c r="F68" s="1"/>
      <c r="G68" s="1"/>
    </row>
    <row r="69" spans="2:7" x14ac:dyDescent="0.25">
      <c r="B69" s="13">
        <v>104</v>
      </c>
      <c r="C69" s="12">
        <v>8000</v>
      </c>
      <c r="D69" s="1">
        <f t="shared" si="8"/>
        <v>3200</v>
      </c>
      <c r="E69" s="1">
        <f t="shared" si="9"/>
        <v>400</v>
      </c>
      <c r="F69" s="1"/>
      <c r="G69" s="1"/>
    </row>
    <row r="72" spans="2:7" ht="22.5" customHeight="1" x14ac:dyDescent="0.25">
      <c r="B72" s="16" t="s">
        <v>6</v>
      </c>
      <c r="C72" s="16" t="s">
        <v>7</v>
      </c>
      <c r="D72" s="16" t="s">
        <v>8</v>
      </c>
      <c r="E72" s="16" t="s">
        <v>9</v>
      </c>
      <c r="F72" s="16" t="s">
        <v>13</v>
      </c>
    </row>
    <row r="73" spans="2:7" x14ac:dyDescent="0.25">
      <c r="B73" s="19">
        <v>100</v>
      </c>
      <c r="C73" s="17">
        <v>70</v>
      </c>
      <c r="D73" s="17">
        <v>75</v>
      </c>
      <c r="E73" s="17">
        <v>95</v>
      </c>
      <c r="F73" s="18" t="str">
        <f>IF(AND(C73&gt;32,D73&gt;32,E73&gt;32),"Pass","Fail")</f>
        <v>Pass</v>
      </c>
    </row>
    <row r="74" spans="2:7" x14ac:dyDescent="0.25">
      <c r="B74" s="19">
        <v>101</v>
      </c>
      <c r="C74" s="17">
        <v>35</v>
      </c>
      <c r="D74" s="17">
        <v>65</v>
      </c>
      <c r="E74" s="17">
        <v>32</v>
      </c>
      <c r="F74" s="18" t="str">
        <f t="shared" ref="F74:F77" si="10">IF(AND(C74&gt;32,D74&gt;32,E74&gt;32),"Pass","Fail")</f>
        <v>Fail</v>
      </c>
    </row>
    <row r="75" spans="2:7" x14ac:dyDescent="0.25">
      <c r="B75" s="19">
        <v>102</v>
      </c>
      <c r="C75" s="17">
        <v>20</v>
      </c>
      <c r="D75" s="17">
        <v>35</v>
      </c>
      <c r="E75" s="17">
        <v>70</v>
      </c>
      <c r="F75" s="18" t="str">
        <f t="shared" si="10"/>
        <v>Fail</v>
      </c>
    </row>
    <row r="76" spans="2:7" x14ac:dyDescent="0.25">
      <c r="B76" s="19">
        <v>103</v>
      </c>
      <c r="C76" s="17">
        <v>85</v>
      </c>
      <c r="D76" s="17">
        <v>20</v>
      </c>
      <c r="E76" s="17">
        <v>65</v>
      </c>
      <c r="F76" s="18" t="str">
        <f t="shared" si="10"/>
        <v>Fail</v>
      </c>
    </row>
    <row r="77" spans="2:7" x14ac:dyDescent="0.25">
      <c r="B77" s="19">
        <v>104</v>
      </c>
      <c r="C77" s="17">
        <v>30</v>
      </c>
      <c r="D77" s="17">
        <v>89</v>
      </c>
      <c r="E77" s="17">
        <v>85</v>
      </c>
      <c r="F77" s="18" t="str">
        <f t="shared" si="10"/>
        <v>Fail</v>
      </c>
    </row>
    <row r="80" spans="2:7" ht="21" customHeight="1" x14ac:dyDescent="0.25">
      <c r="B80" s="10" t="s">
        <v>6</v>
      </c>
      <c r="C80" s="10" t="s">
        <v>7</v>
      </c>
      <c r="D80" s="10" t="s">
        <v>8</v>
      </c>
      <c r="E80" s="10" t="s">
        <v>9</v>
      </c>
      <c r="F80" s="10" t="s">
        <v>10</v>
      </c>
    </row>
    <row r="81" spans="2:6" x14ac:dyDescent="0.25">
      <c r="B81" s="2">
        <v>100</v>
      </c>
      <c r="C81" s="3">
        <v>70</v>
      </c>
      <c r="D81" s="3">
        <v>75</v>
      </c>
      <c r="E81" s="3">
        <v>95</v>
      </c>
      <c r="F81" s="4" t="str">
        <f>IF(AND(C81&gt;32,D81&gt;32,E81&gt;32),"Pass","Fail")</f>
        <v>Pass</v>
      </c>
    </row>
    <row r="82" spans="2:6" x14ac:dyDescent="0.25">
      <c r="B82" s="2">
        <v>102</v>
      </c>
      <c r="C82" s="3">
        <v>35</v>
      </c>
      <c r="D82" s="3">
        <v>65</v>
      </c>
      <c r="E82" s="3">
        <v>33</v>
      </c>
      <c r="F82" s="4" t="str">
        <f t="shared" ref="F82:F85" si="11">IF(AND(C82&gt;32,D82&gt;32,E82&gt;32),"Pass","Fail")</f>
        <v>Pass</v>
      </c>
    </row>
    <row r="83" spans="2:6" x14ac:dyDescent="0.25">
      <c r="B83" s="2">
        <v>104</v>
      </c>
      <c r="C83" s="3">
        <v>20</v>
      </c>
      <c r="D83" s="3">
        <v>35</v>
      </c>
      <c r="E83" s="3">
        <v>70</v>
      </c>
      <c r="F83" s="4" t="str">
        <f t="shared" si="11"/>
        <v>Fail</v>
      </c>
    </row>
    <row r="84" spans="2:6" x14ac:dyDescent="0.25">
      <c r="B84" s="2">
        <v>106</v>
      </c>
      <c r="C84" s="3">
        <v>85</v>
      </c>
      <c r="D84" s="3">
        <v>20</v>
      </c>
      <c r="E84" s="3">
        <v>65</v>
      </c>
      <c r="F84" s="4" t="str">
        <f t="shared" si="11"/>
        <v>Fail</v>
      </c>
    </row>
    <row r="85" spans="2:6" x14ac:dyDescent="0.25">
      <c r="B85" s="2">
        <v>108</v>
      </c>
      <c r="C85" s="3">
        <v>33</v>
      </c>
      <c r="D85" s="3">
        <v>89</v>
      </c>
      <c r="E85" s="3">
        <v>85</v>
      </c>
      <c r="F85" s="4" t="str">
        <f t="shared" si="11"/>
        <v>Pass</v>
      </c>
    </row>
    <row r="89" spans="2:6" x14ac:dyDescent="0.25">
      <c r="B89" s="5" t="s">
        <v>11</v>
      </c>
      <c r="C89" s="5" t="s">
        <v>12</v>
      </c>
      <c r="D89" s="5" t="s">
        <v>8</v>
      </c>
      <c r="E89" s="5" t="s">
        <v>9</v>
      </c>
      <c r="F89" s="5" t="s">
        <v>13</v>
      </c>
    </row>
    <row r="90" spans="2:6" x14ac:dyDescent="0.25">
      <c r="B90" s="6">
        <v>100</v>
      </c>
      <c r="C90" s="7">
        <v>70</v>
      </c>
      <c r="D90" s="7">
        <v>75</v>
      </c>
      <c r="E90" s="7">
        <v>95</v>
      </c>
      <c r="F90" s="8" t="str">
        <f>IF(AND(C90&gt;=33,D90&gt;=33,E90&gt;=33),"pass","Fail")</f>
        <v>pass</v>
      </c>
    </row>
    <row r="91" spans="2:6" x14ac:dyDescent="0.25">
      <c r="B91" s="6">
        <v>101</v>
      </c>
      <c r="C91" s="7">
        <v>35</v>
      </c>
      <c r="D91" s="7">
        <v>65</v>
      </c>
      <c r="E91" s="7">
        <v>32</v>
      </c>
      <c r="F91" s="8" t="str">
        <f t="shared" ref="F91:F94" si="12">IF(AND(C91&gt;=33,D91&gt;=33,E91&gt;=33),"pass","Fail")</f>
        <v>Fail</v>
      </c>
    </row>
    <row r="92" spans="2:6" x14ac:dyDescent="0.25">
      <c r="B92" s="6">
        <v>102</v>
      </c>
      <c r="C92" s="7">
        <v>20</v>
      </c>
      <c r="D92" s="7">
        <v>35</v>
      </c>
      <c r="E92" s="7">
        <v>70</v>
      </c>
      <c r="F92" s="8" t="str">
        <f t="shared" si="12"/>
        <v>Fail</v>
      </c>
    </row>
    <row r="93" spans="2:6" x14ac:dyDescent="0.25">
      <c r="B93" s="6">
        <v>103</v>
      </c>
      <c r="C93" s="7">
        <v>85</v>
      </c>
      <c r="D93" s="7">
        <v>20</v>
      </c>
      <c r="E93" s="7">
        <v>65</v>
      </c>
      <c r="F93" s="8" t="str">
        <f t="shared" si="12"/>
        <v>Fail</v>
      </c>
    </row>
    <row r="94" spans="2:6" x14ac:dyDescent="0.25">
      <c r="B94" s="6">
        <v>104</v>
      </c>
      <c r="C94" s="7">
        <v>30</v>
      </c>
      <c r="D94" s="7">
        <v>89</v>
      </c>
      <c r="E94" s="7">
        <v>85</v>
      </c>
      <c r="F94" s="8" t="str">
        <f t="shared" si="12"/>
        <v>Fail</v>
      </c>
    </row>
    <row r="99" spans="2:7" ht="34.5" customHeight="1" x14ac:dyDescent="0.25">
      <c r="B99" s="35" t="s">
        <v>32</v>
      </c>
      <c r="C99" s="35" t="s">
        <v>33</v>
      </c>
      <c r="D99" s="35" t="s">
        <v>34</v>
      </c>
      <c r="E99" s="35" t="s">
        <v>35</v>
      </c>
      <c r="F99" s="35" t="s">
        <v>10</v>
      </c>
    </row>
    <row r="100" spans="2:7" ht="15.75" x14ac:dyDescent="0.25">
      <c r="B100" s="36" t="s">
        <v>36</v>
      </c>
      <c r="C100" s="39">
        <v>45</v>
      </c>
      <c r="D100" s="39">
        <v>39</v>
      </c>
      <c r="E100" s="39">
        <v>30</v>
      </c>
      <c r="F100" s="37" t="str">
        <f>IF(AND(E100&gt;29,C100+D100&gt;70),"Pass","Fail")</f>
        <v>Pass</v>
      </c>
    </row>
    <row r="101" spans="2:7" ht="15.75" x14ac:dyDescent="0.25">
      <c r="B101" s="36" t="s">
        <v>37</v>
      </c>
      <c r="C101" s="39">
        <v>35</v>
      </c>
      <c r="D101" s="39">
        <v>38</v>
      </c>
      <c r="E101" s="39">
        <v>25</v>
      </c>
      <c r="F101" s="37" t="str">
        <f t="shared" ref="F101:F105" si="13">IF(AND(E101&gt;29,C101+D101&gt;70),"Pass","Fail")</f>
        <v>Fail</v>
      </c>
    </row>
    <row r="102" spans="2:7" ht="15.75" x14ac:dyDescent="0.25">
      <c r="B102" s="36" t="s">
        <v>38</v>
      </c>
      <c r="C102" s="39">
        <v>40</v>
      </c>
      <c r="D102" s="39">
        <v>45</v>
      </c>
      <c r="E102" s="39">
        <v>47</v>
      </c>
      <c r="F102" s="37" t="str">
        <f t="shared" si="13"/>
        <v>Pass</v>
      </c>
    </row>
    <row r="103" spans="2:7" ht="15.75" x14ac:dyDescent="0.25">
      <c r="B103" s="36" t="s">
        <v>39</v>
      </c>
      <c r="C103" s="39">
        <v>34</v>
      </c>
      <c r="D103" s="39">
        <v>28</v>
      </c>
      <c r="E103" s="39">
        <v>38</v>
      </c>
      <c r="F103" s="37" t="str">
        <f t="shared" si="13"/>
        <v>Fail</v>
      </c>
    </row>
    <row r="104" spans="2:7" ht="15.75" x14ac:dyDescent="0.25">
      <c r="B104" s="36" t="s">
        <v>40</v>
      </c>
      <c r="C104" s="39">
        <v>30</v>
      </c>
      <c r="D104" s="39">
        <v>42</v>
      </c>
      <c r="E104" s="39">
        <v>29</v>
      </c>
      <c r="F104" s="37" t="str">
        <f t="shared" si="13"/>
        <v>Fail</v>
      </c>
    </row>
    <row r="105" spans="2:7" ht="15.75" x14ac:dyDescent="0.25">
      <c r="B105" s="36" t="s">
        <v>41</v>
      </c>
      <c r="C105" s="39">
        <v>48</v>
      </c>
      <c r="D105" s="39">
        <v>40</v>
      </c>
      <c r="E105" s="39">
        <v>43</v>
      </c>
      <c r="F105" s="37" t="str">
        <f t="shared" si="13"/>
        <v>Pass</v>
      </c>
    </row>
    <row r="107" spans="2:7" ht="15.75" x14ac:dyDescent="0.25">
      <c r="B107" s="38" t="s">
        <v>42</v>
      </c>
      <c r="C107" s="38"/>
      <c r="D107" s="38"/>
      <c r="E107" s="38"/>
      <c r="F107" s="38"/>
      <c r="G107" s="38"/>
    </row>
    <row r="113" spans="2:7" ht="15.75" x14ac:dyDescent="0.25">
      <c r="B113" s="35" t="s">
        <v>43</v>
      </c>
      <c r="C113" s="35" t="s">
        <v>33</v>
      </c>
      <c r="D113" s="35" t="s">
        <v>34</v>
      </c>
      <c r="E113" s="35" t="s">
        <v>35</v>
      </c>
      <c r="F113" s="35" t="s">
        <v>10</v>
      </c>
    </row>
    <row r="114" spans="2:7" ht="15.75" x14ac:dyDescent="0.25">
      <c r="B114" s="36" t="s">
        <v>36</v>
      </c>
      <c r="C114" s="40">
        <v>45</v>
      </c>
      <c r="D114" s="40">
        <v>39</v>
      </c>
      <c r="E114" s="40">
        <v>30</v>
      </c>
      <c r="F114" s="37" t="str">
        <f>IF(AND(E114&gt;=30,C114+D114&gt;=70),"Pass","Fail")</f>
        <v>Pass</v>
      </c>
    </row>
    <row r="115" spans="2:7" ht="15.75" x14ac:dyDescent="0.25">
      <c r="B115" s="36" t="s">
        <v>37</v>
      </c>
      <c r="C115" s="40">
        <v>35</v>
      </c>
      <c r="D115" s="40">
        <v>38</v>
      </c>
      <c r="E115" s="40">
        <v>25</v>
      </c>
      <c r="F115" s="37" t="str">
        <f t="shared" ref="F115:F119" si="14">IF(AND(E115&gt;=30,C115+D115&gt;=70),"Pass","Fail")</f>
        <v>Fail</v>
      </c>
    </row>
    <row r="116" spans="2:7" ht="15.75" x14ac:dyDescent="0.25">
      <c r="B116" s="36" t="s">
        <v>38</v>
      </c>
      <c r="C116" s="40">
        <v>40</v>
      </c>
      <c r="D116" s="40">
        <v>45</v>
      </c>
      <c r="E116" s="40">
        <v>47</v>
      </c>
      <c r="F116" s="37" t="str">
        <f t="shared" si="14"/>
        <v>Pass</v>
      </c>
    </row>
    <row r="117" spans="2:7" ht="15.75" x14ac:dyDescent="0.25">
      <c r="B117" s="36" t="s">
        <v>39</v>
      </c>
      <c r="C117" s="40">
        <v>34</v>
      </c>
      <c r="D117" s="40">
        <v>28</v>
      </c>
      <c r="E117" s="40">
        <v>38</v>
      </c>
      <c r="F117" s="37" t="str">
        <f t="shared" si="14"/>
        <v>Fail</v>
      </c>
    </row>
    <row r="118" spans="2:7" ht="15.75" x14ac:dyDescent="0.25">
      <c r="B118" s="36" t="s">
        <v>40</v>
      </c>
      <c r="C118" s="40">
        <v>30</v>
      </c>
      <c r="D118" s="40">
        <v>42</v>
      </c>
      <c r="E118" s="40">
        <v>29</v>
      </c>
      <c r="F118" s="37" t="str">
        <f t="shared" si="14"/>
        <v>Fail</v>
      </c>
    </row>
    <row r="119" spans="2:7" ht="15.75" x14ac:dyDescent="0.25">
      <c r="B119" s="36" t="s">
        <v>41</v>
      </c>
      <c r="C119" s="40">
        <v>48</v>
      </c>
      <c r="D119" s="40">
        <v>40</v>
      </c>
      <c r="E119" s="40">
        <v>43</v>
      </c>
      <c r="F119" s="37" t="str">
        <f t="shared" si="14"/>
        <v>Pass</v>
      </c>
    </row>
    <row r="122" spans="2:7" ht="15.75" x14ac:dyDescent="0.25">
      <c r="B122" s="38" t="s">
        <v>42</v>
      </c>
      <c r="C122" s="38"/>
      <c r="D122" s="38"/>
      <c r="E122" s="38"/>
      <c r="F122" s="38"/>
      <c r="G122" s="38"/>
    </row>
    <row r="125" spans="2:7" ht="30" x14ac:dyDescent="0.25">
      <c r="B125" s="41" t="s">
        <v>44</v>
      </c>
      <c r="C125" s="41" t="s">
        <v>45</v>
      </c>
      <c r="D125" s="41" t="s">
        <v>46</v>
      </c>
      <c r="E125" s="41" t="s">
        <v>47</v>
      </c>
      <c r="F125" s="41" t="s">
        <v>48</v>
      </c>
    </row>
    <row r="126" spans="2:7" x14ac:dyDescent="0.25">
      <c r="B126" s="42">
        <v>1</v>
      </c>
      <c r="C126" s="42" t="s">
        <v>49</v>
      </c>
      <c r="D126" s="42">
        <v>100</v>
      </c>
      <c r="E126" s="42">
        <v>50</v>
      </c>
      <c r="F126" s="42"/>
    </row>
    <row r="127" spans="2:7" x14ac:dyDescent="0.25">
      <c r="B127" s="42">
        <v>2</v>
      </c>
      <c r="C127" s="42" t="s">
        <v>50</v>
      </c>
      <c r="D127" s="42">
        <v>100</v>
      </c>
      <c r="E127" s="42">
        <v>80</v>
      </c>
      <c r="F127" s="42"/>
    </row>
    <row r="128" spans="2:7" x14ac:dyDescent="0.25">
      <c r="B128" s="42">
        <v>3</v>
      </c>
      <c r="C128" s="42" t="s">
        <v>51</v>
      </c>
      <c r="D128" s="42">
        <v>100</v>
      </c>
      <c r="E128" s="42">
        <v>35</v>
      </c>
      <c r="F128" s="42"/>
    </row>
    <row r="129" spans="2:6" x14ac:dyDescent="0.25">
      <c r="B129" s="42">
        <v>4</v>
      </c>
      <c r="C129" s="42" t="s">
        <v>52</v>
      </c>
      <c r="D129" s="42">
        <v>100</v>
      </c>
      <c r="E129" s="42">
        <v>75</v>
      </c>
      <c r="F129" s="42"/>
    </row>
    <row r="130" spans="2:6" x14ac:dyDescent="0.25">
      <c r="B130" s="42">
        <v>5</v>
      </c>
      <c r="C130" s="42" t="s">
        <v>53</v>
      </c>
      <c r="D130" s="42">
        <v>100</v>
      </c>
      <c r="E130" s="42">
        <v>65</v>
      </c>
      <c r="F130" s="42"/>
    </row>
    <row r="131" spans="2:6" x14ac:dyDescent="0.25">
      <c r="B131" s="43" t="s">
        <v>54</v>
      </c>
      <c r="C131" s="44"/>
      <c r="D131" s="42">
        <v>500</v>
      </c>
      <c r="E131" s="42">
        <v>305</v>
      </c>
      <c r="F131" s="42"/>
    </row>
  </sheetData>
  <mergeCells count="5">
    <mergeCell ref="B53:F53"/>
    <mergeCell ref="B45:G45"/>
    <mergeCell ref="B107:G107"/>
    <mergeCell ref="B122:G122"/>
    <mergeCell ref="B131:C1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2021-12-04T04:34:45Z</dcterms:modified>
</cp:coreProperties>
</file>